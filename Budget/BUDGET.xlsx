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0fca475ae6ae5e/"/>
    </mc:Choice>
  </mc:AlternateContent>
  <xr:revisionPtr revIDLastSave="18" documentId="8_{7B85BCEB-2907-40A4-85D8-2877851977F3}" xr6:coauthVersionLast="47" xr6:coauthVersionMax="47" xr10:uidLastSave="{D2828296-F580-CB4B-9E58-CD74DBA7D32D}"/>
  <bookViews>
    <workbookView xWindow="-108" yWindow="-108" windowWidth="23256" windowHeight="12696" xr2:uid="{A2536D3B-A627-46A5-90FA-F13906F0FBC5}"/>
  </bookViews>
  <sheets>
    <sheet name="PDR Laguna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23" i="4"/>
  <c r="T8" i="4"/>
  <c r="S8" i="4"/>
  <c r="R8" i="4"/>
  <c r="Q8" i="4"/>
  <c r="P8" i="4"/>
  <c r="O8" i="4"/>
  <c r="N8" i="4"/>
  <c r="B25" i="4"/>
  <c r="M8" i="4"/>
  <c r="L8" i="4"/>
  <c r="K8" i="4"/>
  <c r="J8" i="4"/>
  <c r="I8" i="4"/>
  <c r="H8" i="4"/>
  <c r="G8" i="4"/>
  <c r="F8" i="4"/>
  <c r="E8" i="4"/>
  <c r="D8" i="4"/>
  <c r="C8" i="4"/>
  <c r="B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B27" i="4"/>
  <c r="T23" i="4"/>
  <c r="O23" i="4"/>
  <c r="R23" i="4"/>
  <c r="P23" i="4"/>
  <c r="S23" i="4"/>
  <c r="Q23" i="4"/>
  <c r="C23" i="4"/>
  <c r="C25" i="4"/>
  <c r="D25" i="4"/>
  <c r="D23" i="4"/>
  <c r="E23" i="4"/>
  <c r="F23" i="4"/>
  <c r="G23" i="4"/>
  <c r="H23" i="4"/>
  <c r="I23" i="4"/>
  <c r="J23" i="4"/>
  <c r="K23" i="4"/>
  <c r="L23" i="4"/>
  <c r="N23" i="4"/>
  <c r="M23" i="4"/>
  <c r="C27" i="4"/>
  <c r="D27" i="4"/>
  <c r="E25" i="4"/>
  <c r="F25" i="4"/>
  <c r="E27" i="4"/>
  <c r="F27" i="4"/>
  <c r="G25" i="4"/>
  <c r="H25" i="4"/>
  <c r="G27" i="4"/>
  <c r="H27" i="4"/>
  <c r="I25" i="4"/>
  <c r="J25" i="4"/>
  <c r="I27" i="4"/>
  <c r="J27" i="4"/>
  <c r="K25" i="4"/>
  <c r="L25" i="4"/>
  <c r="K27" i="4"/>
  <c r="M25" i="4"/>
  <c r="L27" i="4"/>
  <c r="N25" i="4"/>
  <c r="M27" i="4"/>
  <c r="O25" i="4"/>
  <c r="N27" i="4"/>
  <c r="P25" i="4"/>
  <c r="O27" i="4"/>
  <c r="Q25" i="4"/>
  <c r="P27" i="4"/>
  <c r="R25" i="4"/>
  <c r="Q27" i="4"/>
  <c r="S25" i="4"/>
  <c r="R27" i="4"/>
  <c r="S27" i="4"/>
  <c r="T25" i="4"/>
  <c r="T27" i="4"/>
</calcChain>
</file>

<file path=xl/sharedStrings.xml><?xml version="1.0" encoding="utf-8"?>
<sst xmlns="http://schemas.openxmlformats.org/spreadsheetml/2006/main" count="21" uniqueCount="21">
  <si>
    <t>Rent</t>
  </si>
  <si>
    <t>Groceries</t>
  </si>
  <si>
    <t>Auto Ins</t>
  </si>
  <si>
    <t>Misc</t>
  </si>
  <si>
    <t>Golds</t>
  </si>
  <si>
    <t>Renters Ins.</t>
  </si>
  <si>
    <t>Gasoline</t>
  </si>
  <si>
    <t>Month</t>
  </si>
  <si>
    <t>USAA CK</t>
  </si>
  <si>
    <t>USAA SV</t>
  </si>
  <si>
    <t>Balances</t>
  </si>
  <si>
    <t>Available Balance</t>
  </si>
  <si>
    <t>Balance + Security Deposit</t>
  </si>
  <si>
    <t>Income</t>
  </si>
  <si>
    <t>AT&amp;T Mobile</t>
  </si>
  <si>
    <t>Spectrum Internet</t>
  </si>
  <si>
    <t>Water Bill</t>
  </si>
  <si>
    <t>Website Hosting</t>
  </si>
  <si>
    <t>Gas</t>
  </si>
  <si>
    <t>Electric</t>
  </si>
  <si>
    <t>SBA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</si>
</sst>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44" fontId="0" fillId="0" borderId="0" xfId="1" applyFont="1"/>
    <xf numFmtId="164" fontId="2" fillId="0" borderId="0" xfId="0" applyNumberFormat="1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/>
    <xf numFmtId="44" fontId="4" fillId="0" borderId="0" xfId="1" applyFont="1"/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14" fontId="4" fillId="0" borderId="0" xfId="0" quotePrefix="1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31FF-49A1-498F-A5BE-25212CABFA5D}">
  <dimension ref="A1:T28"/>
  <sheetViews>
    <sheetView tabSelected="1" zoomScaleNormal="100" workbookViewId="0">
      <selection activeCell="B2" sqref="B2"/>
    </sheetView>
  </sheetViews>
  <sheetFormatPr defaultRowHeight="15" x14ac:dyDescent="0.2"/>
  <cols>
    <col min="1" max="1" width="16.94921875" bestFit="1" customWidth="1"/>
    <col min="2" max="2" width="12.5078125" style="1" bestFit="1" customWidth="1"/>
    <col min="3" max="8" width="11.43359375" bestFit="1" customWidth="1"/>
    <col min="9" max="10" width="10.4921875" bestFit="1" customWidth="1"/>
    <col min="11" max="13" width="11.1640625" bestFit="1" customWidth="1"/>
    <col min="14" max="20" width="12.10546875" bestFit="1" customWidth="1"/>
  </cols>
  <sheetData>
    <row r="1" spans="1:20" x14ac:dyDescent="0.2">
      <c r="A1" s="4" t="s">
        <v>10</v>
      </c>
    </row>
    <row r="2" spans="1:20" x14ac:dyDescent="0.2">
      <c r="A2" t="s">
        <v>8</v>
      </c>
      <c r="B2" s="1">
        <v>622</v>
      </c>
    </row>
    <row r="3" spans="1:20" x14ac:dyDescent="0.2">
      <c r="A3" t="s">
        <v>9</v>
      </c>
      <c r="B3" s="1">
        <v>13737</v>
      </c>
    </row>
    <row r="4" spans="1:20" x14ac:dyDescent="0.2">
      <c r="B4" s="3">
        <f>SUM(B2:B3)</f>
        <v>14359</v>
      </c>
    </row>
    <row r="5" spans="1:20" x14ac:dyDescent="0.2">
      <c r="B5" s="3"/>
    </row>
    <row r="6" spans="1:20" ht="15.75" thickBot="1" x14ac:dyDescent="0.25">
      <c r="A6" t="s">
        <v>13</v>
      </c>
      <c r="B6" s="2">
        <v>250</v>
      </c>
      <c r="C6" s="2">
        <v>250</v>
      </c>
      <c r="D6" s="2">
        <v>250</v>
      </c>
      <c r="E6" s="2">
        <v>250</v>
      </c>
      <c r="F6" s="2">
        <v>250</v>
      </c>
      <c r="G6" s="2">
        <v>250</v>
      </c>
      <c r="H6" s="2">
        <v>250</v>
      </c>
      <c r="I6" s="2">
        <v>250</v>
      </c>
      <c r="J6" s="2">
        <v>250</v>
      </c>
      <c r="K6" s="2">
        <v>250</v>
      </c>
      <c r="L6" s="2">
        <v>250</v>
      </c>
      <c r="M6" s="2">
        <v>250</v>
      </c>
      <c r="N6" s="2">
        <v>250</v>
      </c>
      <c r="O6" s="2">
        <v>250</v>
      </c>
      <c r="P6" s="2">
        <v>250</v>
      </c>
      <c r="Q6" s="2">
        <v>250</v>
      </c>
      <c r="R6" s="2">
        <v>250</v>
      </c>
      <c r="S6" s="2">
        <v>250</v>
      </c>
      <c r="T6" s="2">
        <v>250</v>
      </c>
    </row>
    <row r="7" spans="1:20" ht="15.75" thickBot="1" x14ac:dyDescent="0.25">
      <c r="B7" s="13">
        <v>2022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>
        <v>2023</v>
      </c>
      <c r="O7" s="15"/>
      <c r="P7" s="15"/>
      <c r="Q7" s="15"/>
      <c r="R7" s="15"/>
      <c r="S7" s="15"/>
      <c r="T7" s="16"/>
    </row>
    <row r="8" spans="1:20" s="6" customFormat="1" x14ac:dyDescent="0.2">
      <c r="A8" s="7" t="s">
        <v>7</v>
      </c>
      <c r="B8" s="10" t="str">
        <f ca="1">TEXT(TODAY(),"MMMM")</f>
        <v>April</v>
      </c>
      <c r="C8" s="10" t="str">
        <f ca="1">TEXT(EOMONTH(NOW(),1+(DAY(NOW())&gt;30)),"mmmm")</f>
        <v>May</v>
      </c>
      <c r="D8" s="10" t="str">
        <f ca="1">TEXT(EOMONTH(NOW(),2+(DAY(NOW())&gt;30)),"mmmm")</f>
        <v>June</v>
      </c>
      <c r="E8" s="12" t="str">
        <f ca="1">TEXT(EOMONTH(NOW(),3+(DAY(NOW())&gt;30)),"mmmm")</f>
        <v>July</v>
      </c>
      <c r="F8" s="10" t="str">
        <f ca="1">TEXT(EOMONTH(NOW(),4+(DAY(NOW())&gt;30)),"mmmm")</f>
        <v>August</v>
      </c>
      <c r="G8" s="10" t="str">
        <f ca="1">TEXT(EOMONTH(NOW(),5+(DAY(NOW())&gt;30)),"mmmm")</f>
        <v>September</v>
      </c>
      <c r="H8" s="12" t="str">
        <f ca="1">TEXT(EOMONTH(NOW(),6+(DAY(NOW())&gt;30)),"mmmm")</f>
        <v>October</v>
      </c>
      <c r="I8" s="10" t="str">
        <f ca="1">TEXT(EOMONTH(NOW(),7+(DAY(NOW())&gt;30)),"mmmm")</f>
        <v>November</v>
      </c>
      <c r="J8" s="10" t="str">
        <f ca="1">TEXT(EOMONTH(NOW(),8+(DAY(NOW())&gt;30)),"mmmm")</f>
        <v>December</v>
      </c>
      <c r="K8" s="12" t="str">
        <f ca="1">TEXT(EOMONTH(NOW(),9+(DAY(NOW())&gt;30)),"mmmm")</f>
        <v>January</v>
      </c>
      <c r="L8" s="10" t="str">
        <f ca="1">TEXT(EOMONTH(NOW(),10+(DAY(NOW())&gt;30)),"mmmm")</f>
        <v>February</v>
      </c>
      <c r="M8" s="10" t="str">
        <f ca="1">TEXT(EOMONTH(NOW(),11+(DAY(NOW())&gt;30)),"mmmm")</f>
        <v>March</v>
      </c>
      <c r="N8" s="12" t="str">
        <f ca="1">TEXT(EOMONTH(NOW(),12+(DAY(NOW())&gt;30)),"mmmm")</f>
        <v>April</v>
      </c>
      <c r="O8" s="12" t="str">
        <f ca="1">TEXT(EOMONTH(NOW(),13+(DAY(NOW())&gt;30)),"mmmm")</f>
        <v>May</v>
      </c>
      <c r="P8" s="12" t="str">
        <f ca="1">TEXT(EOMONTH(NOW(),14+(DAY(NOW())&gt;30)),"mmmm")</f>
        <v>June</v>
      </c>
      <c r="Q8" s="12" t="str">
        <f ca="1">TEXT(EOMONTH(NOW(),15+(DAY(NOW())&gt;30)),"mmmm")</f>
        <v>July</v>
      </c>
      <c r="R8" s="12" t="str">
        <f ca="1">TEXT(EOMONTH(NOW(),16+(DAY(NOW())&gt;30)),"mmmm")</f>
        <v>August</v>
      </c>
      <c r="S8" s="12" t="str">
        <f ca="1">TEXT(EOMONTH(NOW(),17+(DAY(NOW())&gt;30)),"mmmm")</f>
        <v>September</v>
      </c>
      <c r="T8" s="12" t="str">
        <f ca="1">TEXT(EOMONTH(NOW(),18+(DAY(NOW())&gt;30)),"mmmm")</f>
        <v>October</v>
      </c>
    </row>
    <row r="9" spans="1:20" x14ac:dyDescent="0.2">
      <c r="A9" t="s">
        <v>0</v>
      </c>
      <c r="B9" s="1">
        <v>2100</v>
      </c>
      <c r="C9" s="1">
        <v>2100</v>
      </c>
      <c r="D9" s="1">
        <v>2100</v>
      </c>
      <c r="E9" s="1">
        <v>2100</v>
      </c>
      <c r="F9" s="1">
        <v>2100</v>
      </c>
      <c r="G9" s="1">
        <v>2100</v>
      </c>
      <c r="H9" s="1">
        <v>2100</v>
      </c>
      <c r="I9" s="1">
        <v>2100</v>
      </c>
      <c r="J9" s="1">
        <v>2100</v>
      </c>
      <c r="K9" s="1">
        <v>2100</v>
      </c>
      <c r="L9" s="1">
        <v>2100</v>
      </c>
      <c r="M9" s="1">
        <v>2100</v>
      </c>
      <c r="N9" s="1">
        <v>2100</v>
      </c>
      <c r="O9" s="1">
        <v>2100</v>
      </c>
      <c r="P9" s="1">
        <v>2100</v>
      </c>
      <c r="Q9" s="1">
        <v>2100</v>
      </c>
      <c r="R9" s="1">
        <v>2100</v>
      </c>
      <c r="S9" s="1">
        <v>2100</v>
      </c>
      <c r="T9" s="1">
        <v>2100</v>
      </c>
    </row>
    <row r="10" spans="1:20" x14ac:dyDescent="0.2">
      <c r="A10" t="s">
        <v>16</v>
      </c>
      <c r="B10" s="1">
        <v>60</v>
      </c>
      <c r="C10" s="1">
        <v>60</v>
      </c>
      <c r="D10" s="1">
        <v>60</v>
      </c>
      <c r="E10" s="1">
        <v>60</v>
      </c>
      <c r="F10" s="1">
        <v>60</v>
      </c>
      <c r="G10" s="1">
        <v>60</v>
      </c>
      <c r="H10" s="1">
        <v>60</v>
      </c>
      <c r="I10" s="1">
        <v>60</v>
      </c>
      <c r="J10" s="1">
        <v>60</v>
      </c>
      <c r="K10" s="1">
        <v>60</v>
      </c>
      <c r="L10" s="1">
        <v>60</v>
      </c>
      <c r="M10" s="1">
        <v>60</v>
      </c>
      <c r="N10" s="1">
        <v>60</v>
      </c>
      <c r="O10" s="1">
        <v>60</v>
      </c>
      <c r="P10" s="1">
        <v>60</v>
      </c>
      <c r="Q10" s="1">
        <v>60</v>
      </c>
      <c r="R10" s="1">
        <v>60</v>
      </c>
      <c r="S10" s="1">
        <v>60</v>
      </c>
      <c r="T10" s="1">
        <v>60</v>
      </c>
    </row>
    <row r="11" spans="1:20" x14ac:dyDescent="0.2">
      <c r="A11" t="s">
        <v>19</v>
      </c>
      <c r="B11" s="1">
        <v>120</v>
      </c>
      <c r="C11" s="1">
        <v>120</v>
      </c>
      <c r="D11" s="1">
        <v>120</v>
      </c>
      <c r="E11" s="1">
        <v>120</v>
      </c>
      <c r="F11" s="1">
        <v>120</v>
      </c>
      <c r="G11" s="1">
        <v>120</v>
      </c>
      <c r="H11" s="1">
        <v>120</v>
      </c>
      <c r="I11" s="1">
        <v>120</v>
      </c>
      <c r="J11" s="1">
        <v>120</v>
      </c>
      <c r="K11" s="1">
        <v>120</v>
      </c>
      <c r="L11" s="1">
        <v>120</v>
      </c>
      <c r="M11" s="1">
        <v>120</v>
      </c>
      <c r="N11" s="1">
        <v>120</v>
      </c>
      <c r="O11" s="1">
        <v>120</v>
      </c>
      <c r="P11" s="1">
        <v>120</v>
      </c>
      <c r="Q11" s="1">
        <v>120</v>
      </c>
      <c r="R11" s="1">
        <v>120</v>
      </c>
      <c r="S11" s="1">
        <v>120</v>
      </c>
      <c r="T11" s="1">
        <v>120</v>
      </c>
    </row>
    <row r="12" spans="1:20" x14ac:dyDescent="0.2">
      <c r="A12" t="s">
        <v>18</v>
      </c>
      <c r="B12" s="1">
        <v>60</v>
      </c>
      <c r="C12" s="1">
        <v>60</v>
      </c>
      <c r="D12" s="1">
        <v>60</v>
      </c>
      <c r="E12" s="1">
        <v>60</v>
      </c>
      <c r="F12" s="1">
        <v>60</v>
      </c>
      <c r="G12" s="1">
        <v>60</v>
      </c>
      <c r="H12" s="1">
        <v>60</v>
      </c>
      <c r="I12" s="1">
        <v>60</v>
      </c>
      <c r="J12" s="1">
        <v>60</v>
      </c>
      <c r="K12" s="1">
        <v>60</v>
      </c>
      <c r="L12" s="1">
        <v>60</v>
      </c>
      <c r="M12" s="1">
        <v>60</v>
      </c>
      <c r="N12" s="1">
        <v>60</v>
      </c>
      <c r="O12" s="1">
        <v>60</v>
      </c>
      <c r="P12" s="1">
        <v>60</v>
      </c>
      <c r="Q12" s="1">
        <v>60</v>
      </c>
      <c r="R12" s="1">
        <v>60</v>
      </c>
      <c r="S12" s="1">
        <v>60</v>
      </c>
      <c r="T12" s="1">
        <v>60</v>
      </c>
    </row>
    <row r="13" spans="1:20" x14ac:dyDescent="0.2">
      <c r="A13" t="s">
        <v>5</v>
      </c>
      <c r="B13" s="1">
        <v>14</v>
      </c>
      <c r="C13" s="1">
        <f t="shared" ref="C13:T13" si="0">SUM(B13)</f>
        <v>14</v>
      </c>
      <c r="D13" s="1">
        <f t="shared" si="0"/>
        <v>14</v>
      </c>
      <c r="E13" s="1">
        <f t="shared" si="0"/>
        <v>14</v>
      </c>
      <c r="F13" s="1">
        <f t="shared" si="0"/>
        <v>14</v>
      </c>
      <c r="G13" s="1">
        <f t="shared" si="0"/>
        <v>14</v>
      </c>
      <c r="H13" s="1">
        <f t="shared" si="0"/>
        <v>14</v>
      </c>
      <c r="I13" s="1">
        <f t="shared" si="0"/>
        <v>14</v>
      </c>
      <c r="J13" s="1">
        <f t="shared" si="0"/>
        <v>14</v>
      </c>
      <c r="K13" s="1">
        <f t="shared" si="0"/>
        <v>14</v>
      </c>
      <c r="L13" s="1">
        <f t="shared" si="0"/>
        <v>14</v>
      </c>
      <c r="M13" s="1">
        <f t="shared" si="0"/>
        <v>14</v>
      </c>
      <c r="N13" s="1">
        <f t="shared" si="0"/>
        <v>14</v>
      </c>
      <c r="O13" s="1">
        <f t="shared" si="0"/>
        <v>14</v>
      </c>
      <c r="P13" s="1">
        <f t="shared" si="0"/>
        <v>14</v>
      </c>
      <c r="Q13" s="1">
        <f t="shared" si="0"/>
        <v>14</v>
      </c>
      <c r="R13" s="1">
        <f t="shared" si="0"/>
        <v>14</v>
      </c>
      <c r="S13" s="1">
        <f t="shared" si="0"/>
        <v>14</v>
      </c>
      <c r="T13" s="1">
        <f t="shared" si="0"/>
        <v>14</v>
      </c>
    </row>
    <row r="14" spans="1:20" x14ac:dyDescent="0.2">
      <c r="A14" t="s">
        <v>15</v>
      </c>
      <c r="B14" s="1">
        <v>40</v>
      </c>
      <c r="C14" s="1">
        <v>40</v>
      </c>
      <c r="D14" s="1">
        <v>40</v>
      </c>
      <c r="E14" s="1">
        <v>40</v>
      </c>
      <c r="F14" s="1">
        <v>40</v>
      </c>
      <c r="G14" s="1">
        <v>40</v>
      </c>
      <c r="H14" s="1">
        <v>40</v>
      </c>
      <c r="I14" s="1">
        <v>40</v>
      </c>
      <c r="J14" s="1">
        <v>40</v>
      </c>
      <c r="K14" s="1">
        <v>40</v>
      </c>
      <c r="L14" s="1">
        <v>40</v>
      </c>
      <c r="M14" s="1">
        <v>40</v>
      </c>
      <c r="N14" s="1">
        <v>40</v>
      </c>
      <c r="O14" s="1">
        <v>40</v>
      </c>
      <c r="P14" s="1">
        <v>40</v>
      </c>
      <c r="Q14" s="1">
        <v>40</v>
      </c>
      <c r="R14" s="1">
        <v>40</v>
      </c>
      <c r="S14" s="1">
        <v>40</v>
      </c>
      <c r="T14" s="1">
        <v>40</v>
      </c>
    </row>
    <row r="15" spans="1:20" x14ac:dyDescent="0.2">
      <c r="A15" t="s">
        <v>14</v>
      </c>
      <c r="B15" s="1">
        <v>50</v>
      </c>
      <c r="C15" s="1">
        <v>50</v>
      </c>
      <c r="D15" s="1">
        <v>50</v>
      </c>
      <c r="E15" s="1">
        <v>50</v>
      </c>
      <c r="F15" s="1">
        <v>50</v>
      </c>
      <c r="G15" s="1">
        <v>50</v>
      </c>
      <c r="H15" s="1">
        <v>50</v>
      </c>
      <c r="I15" s="1">
        <v>50</v>
      </c>
      <c r="J15" s="1">
        <v>50</v>
      </c>
      <c r="K15" s="1">
        <v>50</v>
      </c>
      <c r="L15" s="1">
        <v>50</v>
      </c>
      <c r="M15" s="1">
        <v>50</v>
      </c>
      <c r="N15" s="1">
        <v>50</v>
      </c>
      <c r="O15" s="1">
        <v>50</v>
      </c>
      <c r="P15" s="1">
        <v>50</v>
      </c>
      <c r="Q15" s="1">
        <v>50</v>
      </c>
      <c r="R15" s="1">
        <v>50</v>
      </c>
      <c r="S15" s="1">
        <v>50</v>
      </c>
      <c r="T15" s="1">
        <v>50</v>
      </c>
    </row>
    <row r="16" spans="1:20" x14ac:dyDescent="0.2">
      <c r="A16" t="s">
        <v>1</v>
      </c>
      <c r="B16" s="1">
        <v>0</v>
      </c>
      <c r="C16" s="1">
        <f>SUM(B16)</f>
        <v>0</v>
      </c>
      <c r="D16" s="1">
        <f t="shared" ref="D16:N16" si="1">SUM(C16)</f>
        <v>0</v>
      </c>
      <c r="E16" s="1">
        <f t="shared" si="1"/>
        <v>0</v>
      </c>
      <c r="F16" s="1">
        <f t="shared" si="1"/>
        <v>0</v>
      </c>
      <c r="G16" s="1">
        <f t="shared" si="1"/>
        <v>0</v>
      </c>
      <c r="H16" s="1">
        <f t="shared" si="1"/>
        <v>0</v>
      </c>
      <c r="I16" s="1">
        <f t="shared" si="1"/>
        <v>0</v>
      </c>
      <c r="J16" s="1">
        <f t="shared" si="1"/>
        <v>0</v>
      </c>
      <c r="K16" s="1">
        <f t="shared" si="1"/>
        <v>0</v>
      </c>
      <c r="L16" s="1">
        <f t="shared" si="1"/>
        <v>0</v>
      </c>
      <c r="M16" s="1">
        <f t="shared" si="1"/>
        <v>0</v>
      </c>
      <c r="N16" s="1">
        <f t="shared" si="1"/>
        <v>0</v>
      </c>
      <c r="O16" s="1">
        <f t="shared" ref="O16" si="2">SUM(N16)</f>
        <v>0</v>
      </c>
      <c r="P16" s="1">
        <f t="shared" ref="P16" si="3">SUM(O16)</f>
        <v>0</v>
      </c>
      <c r="Q16" s="1">
        <f t="shared" ref="Q16" si="4">SUM(P16)</f>
        <v>0</v>
      </c>
      <c r="R16" s="1">
        <f t="shared" ref="R16" si="5">SUM(Q16)</f>
        <v>0</v>
      </c>
      <c r="S16" s="1">
        <f t="shared" ref="S16" si="6">SUM(R16)</f>
        <v>0</v>
      </c>
      <c r="T16" s="1">
        <f t="shared" ref="T16" si="7">SUM(S16)</f>
        <v>0</v>
      </c>
    </row>
    <row r="17" spans="1:20" x14ac:dyDescent="0.2">
      <c r="A17" t="s">
        <v>2</v>
      </c>
      <c r="B17" s="1">
        <v>45</v>
      </c>
      <c r="C17" s="1">
        <v>45</v>
      </c>
      <c r="D17" s="1">
        <v>45</v>
      </c>
      <c r="E17" s="1">
        <v>45</v>
      </c>
      <c r="F17" s="1">
        <v>45</v>
      </c>
      <c r="G17" s="1">
        <v>45</v>
      </c>
      <c r="H17" s="1">
        <v>45</v>
      </c>
      <c r="I17" s="1">
        <v>45</v>
      </c>
      <c r="J17" s="1">
        <v>45</v>
      </c>
      <c r="K17" s="1">
        <v>45</v>
      </c>
      <c r="L17" s="1">
        <v>45</v>
      </c>
      <c r="M17" s="1">
        <v>45</v>
      </c>
      <c r="N17" s="1">
        <v>45</v>
      </c>
      <c r="O17" s="1">
        <v>45</v>
      </c>
      <c r="P17" s="1">
        <v>45</v>
      </c>
      <c r="Q17" s="1">
        <v>45</v>
      </c>
      <c r="R17" s="1">
        <v>45</v>
      </c>
      <c r="S17" s="1">
        <v>45</v>
      </c>
      <c r="T17" s="1">
        <v>45</v>
      </c>
    </row>
    <row r="18" spans="1:20" x14ac:dyDescent="0.2">
      <c r="A18" t="s">
        <v>4</v>
      </c>
      <c r="B18" s="1">
        <v>30</v>
      </c>
      <c r="C18" s="1">
        <v>30</v>
      </c>
      <c r="D18" s="1">
        <v>30</v>
      </c>
      <c r="E18" s="1">
        <v>30</v>
      </c>
      <c r="F18" s="1">
        <v>30</v>
      </c>
      <c r="G18" s="1">
        <v>30</v>
      </c>
      <c r="H18" s="1">
        <v>30</v>
      </c>
      <c r="I18" s="1">
        <v>30</v>
      </c>
      <c r="J18" s="1">
        <v>30</v>
      </c>
      <c r="K18" s="1">
        <v>30</v>
      </c>
      <c r="L18" s="1">
        <v>30</v>
      </c>
      <c r="M18" s="1">
        <v>30</v>
      </c>
      <c r="N18" s="1">
        <v>30</v>
      </c>
      <c r="O18" s="1">
        <v>30</v>
      </c>
      <c r="P18" s="1">
        <v>30</v>
      </c>
      <c r="Q18" s="1">
        <v>30</v>
      </c>
      <c r="R18" s="1">
        <v>30</v>
      </c>
      <c r="S18" s="1">
        <v>30</v>
      </c>
      <c r="T18" s="1">
        <v>30</v>
      </c>
    </row>
    <row r="19" spans="1:20" x14ac:dyDescent="0.2">
      <c r="A19" t="s">
        <v>17</v>
      </c>
      <c r="B19" s="1">
        <v>63</v>
      </c>
      <c r="C19" s="1">
        <f>SUM(B19)</f>
        <v>63</v>
      </c>
      <c r="D19" s="1">
        <f t="shared" ref="D19:N19" si="8">SUM(C19)</f>
        <v>63</v>
      </c>
      <c r="E19" s="1">
        <f t="shared" si="8"/>
        <v>63</v>
      </c>
      <c r="F19" s="1">
        <f t="shared" si="8"/>
        <v>63</v>
      </c>
      <c r="G19" s="1">
        <f t="shared" si="8"/>
        <v>63</v>
      </c>
      <c r="H19" s="1">
        <f t="shared" si="8"/>
        <v>63</v>
      </c>
      <c r="I19" s="1">
        <f t="shared" si="8"/>
        <v>63</v>
      </c>
      <c r="J19" s="1">
        <f t="shared" si="8"/>
        <v>63</v>
      </c>
      <c r="K19" s="1">
        <f t="shared" si="8"/>
        <v>63</v>
      </c>
      <c r="L19" s="1">
        <f t="shared" si="8"/>
        <v>63</v>
      </c>
      <c r="M19" s="1">
        <f t="shared" si="8"/>
        <v>63</v>
      </c>
      <c r="N19" s="1">
        <f t="shared" si="8"/>
        <v>63</v>
      </c>
      <c r="O19" s="1">
        <f t="shared" ref="O19:O20" si="9">SUM(N19)</f>
        <v>63</v>
      </c>
      <c r="P19" s="1">
        <f t="shared" ref="P19:P20" si="10">SUM(O19)</f>
        <v>63</v>
      </c>
      <c r="Q19" s="1">
        <f t="shared" ref="Q19:Q20" si="11">SUM(P19)</f>
        <v>63</v>
      </c>
      <c r="R19" s="1">
        <f t="shared" ref="R19:R20" si="12">SUM(Q19)</f>
        <v>63</v>
      </c>
      <c r="S19" s="1">
        <f t="shared" ref="S19:S20" si="13">SUM(R19)</f>
        <v>63</v>
      </c>
      <c r="T19" s="1">
        <f t="shared" ref="T19:T20" si="14">SUM(S19)</f>
        <v>63</v>
      </c>
    </row>
    <row r="20" spans="1:20" x14ac:dyDescent="0.2">
      <c r="A20" t="s">
        <v>6</v>
      </c>
      <c r="B20" s="1">
        <v>75</v>
      </c>
      <c r="C20" s="1">
        <f>SUM(B20)</f>
        <v>75</v>
      </c>
      <c r="D20" s="1">
        <f t="shared" ref="D20:N20" si="15">SUM(C20)</f>
        <v>75</v>
      </c>
      <c r="E20" s="1">
        <f t="shared" si="15"/>
        <v>75</v>
      </c>
      <c r="F20" s="1">
        <f t="shared" si="15"/>
        <v>75</v>
      </c>
      <c r="G20" s="1">
        <f t="shared" si="15"/>
        <v>75</v>
      </c>
      <c r="H20" s="1">
        <f t="shared" si="15"/>
        <v>75</v>
      </c>
      <c r="I20" s="1">
        <f t="shared" si="15"/>
        <v>75</v>
      </c>
      <c r="J20" s="1">
        <f t="shared" si="15"/>
        <v>75</v>
      </c>
      <c r="K20" s="1">
        <f t="shared" si="15"/>
        <v>75</v>
      </c>
      <c r="L20" s="1">
        <f t="shared" si="15"/>
        <v>75</v>
      </c>
      <c r="M20" s="1">
        <f t="shared" si="15"/>
        <v>75</v>
      </c>
      <c r="N20" s="1">
        <f t="shared" si="15"/>
        <v>75</v>
      </c>
      <c r="O20" s="1">
        <f t="shared" si="9"/>
        <v>75</v>
      </c>
      <c r="P20" s="1">
        <f t="shared" si="10"/>
        <v>75</v>
      </c>
      <c r="Q20" s="1">
        <f t="shared" si="11"/>
        <v>75</v>
      </c>
      <c r="R20" s="1">
        <f t="shared" si="12"/>
        <v>75</v>
      </c>
      <c r="S20" s="1">
        <f t="shared" si="13"/>
        <v>75</v>
      </c>
      <c r="T20" s="1">
        <f t="shared" si="14"/>
        <v>75</v>
      </c>
    </row>
    <row r="21" spans="1:20" x14ac:dyDescent="0.2">
      <c r="A21" t="s">
        <v>20</v>
      </c>
      <c r="B21" s="1">
        <v>25</v>
      </c>
      <c r="C21" s="1">
        <v>25</v>
      </c>
      <c r="D21" s="1">
        <v>25</v>
      </c>
      <c r="E21" s="1">
        <v>25</v>
      </c>
      <c r="F21" s="1">
        <v>25</v>
      </c>
      <c r="G21" s="1">
        <v>25</v>
      </c>
      <c r="H21" s="1">
        <v>63</v>
      </c>
      <c r="I21" s="1">
        <v>63</v>
      </c>
      <c r="J21" s="1">
        <v>63</v>
      </c>
      <c r="K21" s="1">
        <v>63</v>
      </c>
      <c r="L21" s="1">
        <v>63</v>
      </c>
      <c r="M21" s="1">
        <v>63</v>
      </c>
      <c r="N21" s="1">
        <v>63</v>
      </c>
      <c r="O21" s="1">
        <v>63</v>
      </c>
      <c r="P21" s="1">
        <v>63</v>
      </c>
      <c r="Q21" s="1">
        <v>63</v>
      </c>
      <c r="R21" s="1">
        <v>63</v>
      </c>
      <c r="S21" s="1">
        <v>63</v>
      </c>
      <c r="T21" s="1">
        <v>63</v>
      </c>
    </row>
    <row r="22" spans="1:20" x14ac:dyDescent="0.2">
      <c r="A22" t="s">
        <v>3</v>
      </c>
      <c r="B22" s="1">
        <v>200</v>
      </c>
      <c r="C22" s="1">
        <v>200</v>
      </c>
      <c r="D22" s="1">
        <v>200</v>
      </c>
      <c r="E22" s="1">
        <v>200</v>
      </c>
      <c r="F22" s="1">
        <v>200</v>
      </c>
      <c r="G22" s="1">
        <v>200</v>
      </c>
      <c r="H22" s="1">
        <v>200</v>
      </c>
      <c r="I22" s="1">
        <v>200</v>
      </c>
      <c r="J22" s="1">
        <v>200</v>
      </c>
      <c r="K22" s="1">
        <v>200</v>
      </c>
      <c r="L22" s="1">
        <v>200</v>
      </c>
      <c r="M22" s="1">
        <v>200</v>
      </c>
      <c r="N22" s="1">
        <v>200</v>
      </c>
      <c r="O22" s="1">
        <v>200</v>
      </c>
      <c r="P22" s="1">
        <v>200</v>
      </c>
      <c r="Q22" s="1">
        <v>200</v>
      </c>
      <c r="R22" s="1">
        <v>200</v>
      </c>
      <c r="S22" s="1">
        <v>200</v>
      </c>
      <c r="T22" s="1">
        <v>200</v>
      </c>
    </row>
    <row r="23" spans="1:20" x14ac:dyDescent="0.2">
      <c r="B23" s="3">
        <f t="shared" ref="B23:T23" si="16">SUM(B9:B22)</f>
        <v>2882</v>
      </c>
      <c r="C23" s="3">
        <f t="shared" si="16"/>
        <v>2882</v>
      </c>
      <c r="D23" s="3">
        <f t="shared" si="16"/>
        <v>2882</v>
      </c>
      <c r="E23" s="3">
        <f t="shared" si="16"/>
        <v>2882</v>
      </c>
      <c r="F23" s="3">
        <f t="shared" si="16"/>
        <v>2882</v>
      </c>
      <c r="G23" s="3">
        <f t="shared" si="16"/>
        <v>2882</v>
      </c>
      <c r="H23" s="3">
        <f t="shared" si="16"/>
        <v>2920</v>
      </c>
      <c r="I23" s="3">
        <f t="shared" si="16"/>
        <v>2920</v>
      </c>
      <c r="J23" s="3">
        <f t="shared" si="16"/>
        <v>2920</v>
      </c>
      <c r="K23" s="3">
        <f t="shared" si="16"/>
        <v>2920</v>
      </c>
      <c r="L23" s="3">
        <f t="shared" si="16"/>
        <v>2920</v>
      </c>
      <c r="M23" s="3">
        <f t="shared" si="16"/>
        <v>2920</v>
      </c>
      <c r="N23" s="3">
        <f t="shared" si="16"/>
        <v>2920</v>
      </c>
      <c r="O23" s="3">
        <f t="shared" si="16"/>
        <v>2920</v>
      </c>
      <c r="P23" s="3">
        <f t="shared" si="16"/>
        <v>2920</v>
      </c>
      <c r="Q23" s="3">
        <f t="shared" si="16"/>
        <v>2920</v>
      </c>
      <c r="R23" s="3">
        <f t="shared" si="16"/>
        <v>2920</v>
      </c>
      <c r="S23" s="3">
        <f t="shared" si="16"/>
        <v>2920</v>
      </c>
      <c r="T23" s="3">
        <f t="shared" si="16"/>
        <v>2920</v>
      </c>
    </row>
    <row r="24" spans="1:20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20" s="5" customFormat="1" x14ac:dyDescent="0.2">
      <c r="A25" s="5" t="s">
        <v>11</v>
      </c>
      <c r="B25" s="8">
        <f>SUM(B4-B23+B6)</f>
        <v>11727</v>
      </c>
      <c r="C25" s="9">
        <f t="shared" ref="C25:T25" si="17">SUM(B25-C23+C6)</f>
        <v>9095</v>
      </c>
      <c r="D25" s="9">
        <f t="shared" si="17"/>
        <v>6463</v>
      </c>
      <c r="E25" s="9">
        <f t="shared" si="17"/>
        <v>3831</v>
      </c>
      <c r="F25" s="9">
        <f t="shared" si="17"/>
        <v>1199</v>
      </c>
      <c r="G25" s="9">
        <f t="shared" si="17"/>
        <v>-1433</v>
      </c>
      <c r="H25" s="9">
        <f t="shared" si="17"/>
        <v>-4103</v>
      </c>
      <c r="I25" s="9">
        <f t="shared" si="17"/>
        <v>-6773</v>
      </c>
      <c r="J25" s="9">
        <f t="shared" si="17"/>
        <v>-9443</v>
      </c>
      <c r="K25" s="9">
        <f t="shared" si="17"/>
        <v>-12113</v>
      </c>
      <c r="L25" s="9">
        <f t="shared" si="17"/>
        <v>-14783</v>
      </c>
      <c r="M25" s="9">
        <f t="shared" si="17"/>
        <v>-17453</v>
      </c>
      <c r="N25" s="9">
        <f t="shared" si="17"/>
        <v>-20123</v>
      </c>
      <c r="O25" s="9">
        <f t="shared" si="17"/>
        <v>-22793</v>
      </c>
      <c r="P25" s="9">
        <f t="shared" si="17"/>
        <v>-25463</v>
      </c>
      <c r="Q25" s="9">
        <f t="shared" si="17"/>
        <v>-28133</v>
      </c>
      <c r="R25" s="9">
        <f t="shared" si="17"/>
        <v>-30803</v>
      </c>
      <c r="S25" s="9">
        <f t="shared" si="17"/>
        <v>-33473</v>
      </c>
      <c r="T25" s="9">
        <f t="shared" si="17"/>
        <v>-36143</v>
      </c>
    </row>
    <row r="26" spans="1:20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20" s="5" customFormat="1" ht="27.75" x14ac:dyDescent="0.2">
      <c r="A27" s="11" t="s">
        <v>12</v>
      </c>
      <c r="B27" s="8">
        <f>SUM(B25+4200)</f>
        <v>15927</v>
      </c>
      <c r="C27" s="8">
        <f>SUM(C25+4200)</f>
        <v>13295</v>
      </c>
      <c r="D27" s="8">
        <f t="shared" ref="D27:T27" si="18">SUM(D25+4200)</f>
        <v>10663</v>
      </c>
      <c r="E27" s="8">
        <f t="shared" si="18"/>
        <v>8031</v>
      </c>
      <c r="F27" s="8">
        <f t="shared" si="18"/>
        <v>5399</v>
      </c>
      <c r="G27" s="8">
        <f t="shared" si="18"/>
        <v>2767</v>
      </c>
      <c r="H27" s="8">
        <f t="shared" si="18"/>
        <v>97</v>
      </c>
      <c r="I27" s="8">
        <f t="shared" si="18"/>
        <v>-2573</v>
      </c>
      <c r="J27" s="8">
        <f t="shared" si="18"/>
        <v>-5243</v>
      </c>
      <c r="K27" s="8">
        <f t="shared" si="18"/>
        <v>-7913</v>
      </c>
      <c r="L27" s="8">
        <f t="shared" si="18"/>
        <v>-10583</v>
      </c>
      <c r="M27" s="8">
        <f t="shared" si="18"/>
        <v>-13253</v>
      </c>
      <c r="N27" s="8">
        <f t="shared" si="18"/>
        <v>-15923</v>
      </c>
      <c r="O27" s="8">
        <f t="shared" si="18"/>
        <v>-18593</v>
      </c>
      <c r="P27" s="8">
        <f t="shared" si="18"/>
        <v>-21263</v>
      </c>
      <c r="Q27" s="8">
        <f t="shared" si="18"/>
        <v>-23933</v>
      </c>
      <c r="R27" s="8">
        <f t="shared" si="18"/>
        <v>-26603</v>
      </c>
      <c r="S27" s="8">
        <f t="shared" si="18"/>
        <v>-29273</v>
      </c>
      <c r="T27" s="8">
        <f t="shared" si="18"/>
        <v>-31943</v>
      </c>
    </row>
    <row r="28" spans="1:20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</sheetData>
  <mergeCells count="2">
    <mergeCell ref="B7:M7"/>
    <mergeCell ref="N7:T7"/>
  </mergeCells>
  <phoneticPr fontId="3" type="noConversion"/>
  <dataValidations count="1">
    <dataValidation type="list" allowBlank="1" showInputMessage="1" showErrorMessage="1" sqref="B9:T13" xr:uid="{12C32496-257D-480C-A9E2-411EF9EBC2D2}">
      <formula1>"1800,1850,1900,1950,2000,2050,2100,2150,2200,2250,2300,2350,2400"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PDR Laguna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Scott</dc:creator>
  <cp:lastModifiedBy>Stephen Scott</cp:lastModifiedBy>
  <dcterms:created xsi:type="dcterms:W3CDTF">2020-07-28T13:52:29Z</dcterms:created>
  <dcterms:modified xsi:type="dcterms:W3CDTF">2023-01-06T18:52:20Z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a72fae40-22c0-4551-96ad-0ad4bc923c57</vt:lpwstr>
  </property>
</Properties>
</file>